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JUIS_WB" defaultThemeVersion="124226"/>
  <mc:AlternateContent xmlns:mc="http://schemas.openxmlformats.org/markup-compatibility/2006">
    <mc:Choice Requires="x15">
      <x15ac:absPath xmlns:x15ac="http://schemas.microsoft.com/office/spreadsheetml/2010/11/ac" url=""/>
    </mc:Choice>
  </mc:AlternateContent>
  <bookViews>
    <workbookView xWindow="480" yWindow="330" windowWidth="20730" windowHeight="9750" xr2:uid="{00000000-000D-0000-FFFF-FFFF00000000}"/>
  </bookViews>
  <sheets>
    <sheet name="JUIS" sheetId="2" r:id="rId1"/>
  </sheets>
  <functionGroups builtInGroupCount="19"/>
  <definedNames>
    <definedName name="ConsumerSecret">#REF!</definedName>
    <definedName name="LastBoxInfo">JUIS!$D$4</definedName>
    <definedName name="LastFirmware">JUIS!$U$4</definedName>
    <definedName name="Password">#REF!</definedName>
    <definedName name="SecurityToken">#REF!</definedName>
  </definedNames>
  <calcPr calcId="171027"/>
</workbook>
</file>

<file path=xl/calcChain.xml><?xml version="1.0" encoding="utf-8"?>
<calcChain xmlns="http://schemas.openxmlformats.org/spreadsheetml/2006/main">
  <c r="V42" i="2" l="1"/>
  <c r="V43" i="2"/>
  <c r="V16" i="2" l="1"/>
</calcChain>
</file>

<file path=xl/sharedStrings.xml><?xml version="1.0" encoding="utf-8"?>
<sst xmlns="http://schemas.openxmlformats.org/spreadsheetml/2006/main" count="312" uniqueCount="100">
  <si>
    <t>Version</t>
  </si>
  <si>
    <t>Update</t>
  </si>
  <si>
    <t>Country</t>
  </si>
  <si>
    <t>Annex</t>
  </si>
  <si>
    <t>Lang</t>
  </si>
  <si>
    <t>OEM</t>
  </si>
  <si>
    <t>HW</t>
  </si>
  <si>
    <t>Name</t>
  </si>
  <si>
    <t>Serial</t>
  </si>
  <si>
    <t>nonce</t>
  </si>
  <si>
    <t>hostname</t>
  </si>
  <si>
    <t>Type</t>
  </si>
  <si>
    <t>Flag</t>
  </si>
  <si>
    <t>Build</t>
  </si>
  <si>
    <t>Patch</t>
  </si>
  <si>
    <t>Minor</t>
  </si>
  <si>
    <t>Major</t>
  </si>
  <si>
    <t>juis?</t>
  </si>
  <si>
    <t>Beschreibung</t>
  </si>
  <si>
    <t>IP</t>
  </si>
  <si>
    <t>JSON Update Info Service</t>
  </si>
  <si>
    <t xml:space="preserve">        Letzte Abfrage der Boxinfos:</t>
  </si>
  <si>
    <t xml:space="preserve">         Letzte Abfrage:</t>
  </si>
  <si>
    <t>jason</t>
  </si>
  <si>
    <t>213.jws.avm.de</t>
  </si>
  <si>
    <t>unnecessary</t>
  </si>
  <si>
    <t>FRITZ!Box 6490 Cable (kdg)</t>
  </si>
  <si>
    <t>kdg</t>
  </si>
  <si>
    <t>de</t>
  </si>
  <si>
    <t>Kabel</t>
  </si>
  <si>
    <t>n/a</t>
  </si>
  <si>
    <t>juis</t>
  </si>
  <si>
    <t>185.jws.avm.de</t>
  </si>
  <si>
    <t>FRITZ!Box 7490</t>
  </si>
  <si>
    <t>avm</t>
  </si>
  <si>
    <t>B</t>
  </si>
  <si>
    <t>7490 stable</t>
  </si>
  <si>
    <t>7490 intern</t>
  </si>
  <si>
    <t>7490 beta</t>
  </si>
  <si>
    <t>6490 KDG</t>
  </si>
  <si>
    <t>SW</t>
  </si>
  <si>
    <t>FW</t>
  </si>
  <si>
    <t>06.06</t>
  </si>
  <si>
    <t>03.54</t>
  </si>
  <si>
    <t>049</t>
  </si>
  <si>
    <t>113.06.98</t>
  </si>
  <si>
    <t>04.02</t>
  </si>
  <si>
    <t>03.47</t>
  </si>
  <si>
    <t>04.62</t>
  </si>
  <si>
    <t>C5 stable</t>
  </si>
  <si>
    <t>C5 intern</t>
  </si>
  <si>
    <t>04.01</t>
  </si>
  <si>
    <t>7590 stable</t>
  </si>
  <si>
    <t>7590 beta</t>
  </si>
  <si>
    <t>7590 intern</t>
  </si>
  <si>
    <t>226.jws.avm.de</t>
  </si>
  <si>
    <t>FRITZ!Box 7590</t>
  </si>
  <si>
    <t>156.jws.avm.de</t>
  </si>
  <si>
    <t>FRITZ!Box Fon WLAN 7390</t>
  </si>
  <si>
    <t>7390 stable</t>
  </si>
  <si>
    <t>7390 beta</t>
  </si>
  <si>
    <t>fritz.box</t>
  </si>
  <si>
    <t>MT-F stable</t>
  </si>
  <si>
    <t>MF-F intern</t>
  </si>
  <si>
    <t>C3 stable</t>
  </si>
  <si>
    <t>C3 intern</t>
  </si>
  <si>
    <t>M2 stable</t>
  </si>
  <si>
    <t>M2 intern</t>
  </si>
  <si>
    <t>C4 stable</t>
  </si>
  <si>
    <t>C4 intern</t>
  </si>
  <si>
    <t>Comet HKR stable</t>
  </si>
  <si>
    <t>Comet HKR intern</t>
  </si>
  <si>
    <t>01.01</t>
  </si>
  <si>
    <t>02.01</t>
  </si>
  <si>
    <t>03.01</t>
  </si>
  <si>
    <t>05.01</t>
  </si>
  <si>
    <t>06.04</t>
  </si>
  <si>
    <t>DECT300 HKR stable</t>
  </si>
  <si>
    <t>DECT300 HKR intern</t>
  </si>
  <si>
    <t>06.05</t>
  </si>
  <si>
    <t>DECT301 HKR stable</t>
  </si>
  <si>
    <t>DECT301 HKR intern</t>
  </si>
  <si>
    <t>DECT200 stable</t>
  </si>
  <si>
    <t>DECT200 intern</t>
  </si>
  <si>
    <t>DECT100 stable</t>
  </si>
  <si>
    <t>DECT100 intern</t>
  </si>
  <si>
    <t>07.01</t>
  </si>
  <si>
    <t>07.02</t>
  </si>
  <si>
    <t>08.01</t>
  </si>
  <si>
    <t>08.02</t>
  </si>
  <si>
    <t>113.06.92</t>
  </si>
  <si>
    <t/>
  </si>
  <si>
    <t>03.92</t>
  </si>
  <si>
    <t>04.36</t>
  </si>
  <si>
    <t>03.86</t>
  </si>
  <si>
    <t>03.87</t>
  </si>
  <si>
    <t>MT-D stable</t>
  </si>
  <si>
    <t>SP300 stable</t>
  </si>
  <si>
    <t>01.79</t>
  </si>
  <si>
    <t>02.92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</si>
</sst>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wrapText="1"/>
    </xf>
    <xf numFmtId="0" fontId="2" fillId="0" borderId="0" xfId="1" applyFont="1"/>
    <xf numFmtId="0" fontId="0" fillId="0" borderId="0" xfId="0" applyFill="1"/>
    <xf numFmtId="0" fontId="3" fillId="0" borderId="0" xfId="0" applyFont="1" applyFill="1"/>
    <xf numFmtId="0" fontId="0" fillId="2" borderId="1" xfId="0" applyFont="1" applyFill="1" applyBorder="1"/>
    <xf numFmtId="0" fontId="0" fillId="0" borderId="1" xfId="0" applyFont="1" applyBorder="1"/>
    <xf numFmtId="0" fontId="0" fillId="0" borderId="0" xfId="0" quotePrefix="1" applyFill="1"/>
    <xf numFmtId="0" fontId="0" fillId="0" borderId="0" xfId="0" quotePrefix="1"/>
    <xf numFmtId="0" fontId="0" fillId="0" borderId="0" xfId="0" quotePrefix="1" applyAlignment="1">
      <alignment wrapText="1"/>
    </xf>
    <xf numFmtId="49" fontId="0" fillId="0" borderId="0" xfId="0" applyNumberFormat="1"/>
    <xf numFmtId="0" fontId="0" fillId="0" borderId="0" xfId="0" applyNumberFormat="1"/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Link" xfId="1" builtinId="8"/>
    <cellStyle name="Standard" xfId="0" builtinId="0"/>
  </cellStyles>
  <dxfs count="3">
    <dxf>
      <numFmt numFmtId="30" formatCode="@"/>
    </dxf>
    <dxf>
      <alignment horizontal="general" vertical="bottom" textRotation="0" wrapText="1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690563</xdr:colOff>
      <xdr:row>2</xdr:row>
      <xdr:rowOff>14288</xdr:rowOff>
    </xdr:from>
    <xdr:to>
      <xdr:col>3</xdr:col>
      <xdr:colOff>223838</xdr:colOff>
      <xdr:row>2</xdr:row>
      <xdr:rowOff>161925</xdr:rowOff>
    </xdr:to>
    <xdr:sp macro="" textlink="">
      <xdr:nvSpPr>
        <xdr:cNvPr id="2" name="Pfeil: nach unten gekrümm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24013" y="376238"/>
          <a:ext cx="714375" cy="147637"/>
        </a:xfrm>
        <a:prstGeom prst="curvedDown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342900</xdr:colOff>
      <xdr:row>2</xdr:row>
      <xdr:rowOff>9525</xdr:rowOff>
    </xdr:from>
    <xdr:to>
      <xdr:col>20</xdr:col>
      <xdr:colOff>200025</xdr:colOff>
      <xdr:row>2</xdr:row>
      <xdr:rowOff>157162</xdr:rowOff>
    </xdr:to>
    <xdr:sp macro="" textlink="">
      <xdr:nvSpPr>
        <xdr:cNvPr id="7" name="Pfeil: nach unten gekrümm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577638" y="371475"/>
          <a:ext cx="714375" cy="147637"/>
        </a:xfrm>
        <a:prstGeom prst="curvedDown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0</xdr:row>
          <xdr:rowOff>61913</xdr:rowOff>
        </xdr:from>
        <xdr:to>
          <xdr:col>5</xdr:col>
          <xdr:colOff>319088</xdr:colOff>
          <xdr:row>1</xdr:row>
          <xdr:rowOff>95250</xdr:rowOff>
        </xdr:to>
        <xdr:sp macro="" textlink="">
          <xdr:nvSpPr>
            <xdr:cNvPr id="1029" name="Schaltfläche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Infos der Boxen abfragen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366713</xdr:colOff>
          <xdr:row>0</xdr:row>
          <xdr:rowOff>76200</xdr:rowOff>
        </xdr:from>
        <xdr:to>
          <xdr:col>20</xdr:col>
          <xdr:colOff>252413</xdr:colOff>
          <xdr:row>1</xdr:row>
          <xdr:rowOff>109538</xdr:rowOff>
        </xdr:to>
        <xdr:sp macro="" textlink="">
          <xdr:nvSpPr>
            <xdr:cNvPr id="1030" name="Schaltfläche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Neueste Firmware abfragen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361950</xdr:colOff>
      <xdr:row>16</xdr:row>
      <xdr:rowOff>152400</xdr:rowOff>
    </xdr:from>
    <xdr:to>
      <xdr:col>20</xdr:col>
      <xdr:colOff>219075</xdr:colOff>
      <xdr:row>17</xdr:row>
      <xdr:rowOff>119062</xdr:rowOff>
    </xdr:to>
    <xdr:sp macro="" textlink="">
      <xdr:nvSpPr>
        <xdr:cNvPr id="6" name="Pfeil: nach unten gekrümmt 5">
          <a:extLst>
            <a:ext uri="{FF2B5EF4-FFF2-40B4-BE49-F238E27FC236}">
              <a16:creationId xmlns:a16="http://schemas.microsoft.com/office/drawing/2014/main" id="{9D995161-5F55-4030-8374-ACBE4B8996B7}"/>
            </a:ext>
          </a:extLst>
        </xdr:cNvPr>
        <xdr:cNvSpPr/>
      </xdr:nvSpPr>
      <xdr:spPr>
        <a:xfrm>
          <a:off x="11691938" y="3048000"/>
          <a:ext cx="714375" cy="147637"/>
        </a:xfrm>
        <a:prstGeom prst="curvedDown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253949-6EBC-4BF4-A8F0-1E3B63D21D06}" name="IP_Tab" displayName="IP_Tab" ref="A5:B16" totalsRowShown="0">
  <autoFilter ref="A5:B16" xr:uid="{FBC24C4B-3F87-4735-AF3F-0DF25FB29E45}"/>
  <tableColumns count="2">
    <tableColumn id="1" xr3:uid="{82854730-C7EE-4B4A-9E13-B15B70468204}" name="IP"/>
    <tableColumn id="2" xr3:uid="{237429D1-FE74-4B0E-940C-6114BF566BF1}" name="Beschreibung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5E1FA4-8BCA-4366-A3A4-45DB7E41D637}" name="BoxInfo_Tab" displayName="BoxInfo_Tab" ref="D5:S16" totalsRowShown="0">
  <autoFilter ref="D5:S16" xr:uid="{FC0DACEA-7BA9-4751-B1E7-778FF7820584}"/>
  <tableColumns count="16">
    <tableColumn id="1" xr3:uid="{40F17A68-2147-4E47-BA3A-FACD0916778C}" name="juis?"/>
    <tableColumn id="2" xr3:uid="{73F087BE-DB69-4370-9EED-F0E1CB15EBDB}" name="Major"/>
    <tableColumn id="3" xr3:uid="{8AD09F3D-390C-4A59-836A-74E7EAC8E60F}" name="Minor"/>
    <tableColumn id="4" xr3:uid="{E9950D58-0BA7-41BB-B2D5-B47CB74CC4A0}" name="Patch"/>
    <tableColumn id="5" xr3:uid="{77AE206E-7902-4685-8039-ACAC968231C8}" name="Build"/>
    <tableColumn id="6" xr3:uid="{190BC514-74D2-45CA-94CD-9A757CBDD6A3}" name="Flag"/>
    <tableColumn id="8" xr3:uid="{1493DE0A-B8FE-4F5F-B0E8-7B2E17C217DD}" name="Type"/>
    <tableColumn id="9" xr3:uid="{F3D809EA-D483-49BA-AC0E-8BB4EB301312}" name="hostname"/>
    <tableColumn id="10" xr3:uid="{E8998A81-7A7A-4BE3-B0A8-6211EACBFFC6}" name="nonce"/>
    <tableColumn id="11" xr3:uid="{A04D8D71-03F3-4481-9AB5-DB1C1C40B0F8}" name="Serial"/>
    <tableColumn id="12" xr3:uid="{715F76B9-504E-4B74-A5DE-2FF5D5070B6D}" name="Name"/>
    <tableColumn id="13" xr3:uid="{BF7CC9F8-96DA-4D01-97D6-AF6EB37AC57B}" name="HW"/>
    <tableColumn id="14" xr3:uid="{2BE961DE-F212-4A5D-A133-ED355D8CE4CC}" name="OEM"/>
    <tableColumn id="15" xr3:uid="{7D2432E8-4E54-4CA2-B857-A89B7273E789}" name="Lang"/>
    <tableColumn id="16" xr3:uid="{B46DE6BC-198A-411B-800E-1FB0A1D63E02}" name="Annex"/>
    <tableColumn id="17" xr3:uid="{D9A099A4-E19D-444E-8A64-B90D27E77DFA}" name="Countr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B4B826-E607-4B73-93FB-BD41CDADDA23}" name="Update_Tab" displayName="Update_Tab" ref="U5:V16" totalsRowShown="0">
  <autoFilter ref="U5:V16" xr:uid="{192AC4E7-5107-4D85-A8B4-11778D26989B}"/>
  <tableColumns count="2">
    <tableColumn id="1" xr3:uid="{80176988-EAB8-460D-9F99-5215069E694E}" name="Update"/>
    <tableColumn id="2" xr3:uid="{0F2EDAFD-BC23-4B7F-952D-BAB20978AD6A}" name="Version" dataDxfId="2">
      <calculatedColumnFormula>LEFT(RIGHT(Update_Tab[[#This Row],[Update]],17),11)</calculatedColumnFormula>
    </tableColumn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F4AA614-9F9E-433C-BB3A-0062C7788998}" name="IP_Tab2" displayName="IP_Tab2" ref="B19:B43" totalsRowShown="0">
  <autoFilter ref="B19:B43" xr:uid="{09BFA392-860E-4373-944F-6CC39AEA2BBE}"/>
  <tableColumns count="1">
    <tableColumn id="2" xr3:uid="{5174041D-88FB-4615-B4F3-D1F9782B3ED9}" name="Beschreibung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34CCF44-4851-41D1-8E5C-3E2BCB80412F}" name="BoxInfo_Tab2" displayName="BoxInfo_Tab2" ref="D19:I43" totalsRowShown="0">
  <autoFilter ref="D19:I43" xr:uid="{A5368279-45B1-4D20-94A6-6391ABDB9E97}"/>
  <tableColumns count="6">
    <tableColumn id="1" xr3:uid="{95C9250F-642A-4C14-AFB4-78388EA77A72}" name="HW"/>
    <tableColumn id="2" xr3:uid="{E8451F5A-D101-4793-BA01-9FC19A7B507C}" name="SW"/>
    <tableColumn id="3" xr3:uid="{08C34505-E829-4AFC-BE26-AEBC6FD55888}" name="OEM"/>
    <tableColumn id="4" xr3:uid="{C26DEA4E-F39F-4CF5-B114-3EFEE4274FE0}" name="Lang"/>
    <tableColumn id="5" xr3:uid="{C0205617-DDEF-4DE5-8C28-1D16864E9F50}" name="Country" dataDxfId="1"/>
    <tableColumn id="6" xr3:uid="{DA97ACD9-7401-4FF6-AEE7-BD2E4F08DA02}" name="FW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D1D048-C6EA-41E5-8A82-86DD86D8B5CD}" name="Update_Tab2" displayName="Update_Tab2" ref="U19:V43" totalsRowShown="0">
  <autoFilter ref="U19:V43" xr:uid="{5CF1186A-540B-49B3-9364-47F7AA2FE094}"/>
  <tableColumns count="2">
    <tableColumn id="1" xr3:uid="{954D2DDB-7351-4DBF-8E56-3B266D7751FA}" name="Update"/>
    <tableColumn id="2" xr3:uid="{2685CAE0-587D-45CB-8A1D-952A012E9E23}" name="Version" dataDxfId="0">
      <calculatedColumnFormula>LEFT(RIGHT(Update_Tab2[[#This Row],[Update]],17),11)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68943-CCBD-40CF-AAE3-F4225E33A967}">
  <sheetPr codeName="JUIS_Tab"/>
  <dimension ref="A1:V43"/>
  <sheetViews>
    <sheetView tabSelected="1" workbookViewId="0"/>
  </sheetViews>
  <sheetFormatPr baseColWidth="10" defaultRowHeight="14.25" x14ac:dyDescent="0.45"/>
  <cols>
    <col min="1" max="1" width="13.06640625" customWidth="1"/>
    <col min="2" max="2" width="13.9296875" bestFit="1" customWidth="1"/>
    <col min="3" max="3" width="2.59765625" customWidth="1"/>
    <col min="4" max="4" width="6.59765625" bestFit="1" customWidth="1"/>
    <col min="5" max="5" width="7.73046875" bestFit="1" customWidth="1"/>
    <col min="6" max="6" width="7.86328125" bestFit="1" customWidth="1"/>
    <col min="7" max="7" width="7.3984375" bestFit="1" customWidth="1"/>
    <col min="8" max="8" width="7.06640625" bestFit="1" customWidth="1"/>
    <col min="9" max="9" width="6.1328125" bestFit="1" customWidth="1"/>
    <col min="10" max="10" width="6.59765625" bestFit="1" customWidth="1"/>
    <col min="11" max="11" width="13" bestFit="1" customWidth="1"/>
    <col min="12" max="12" width="7.9296875" bestFit="1" customWidth="1"/>
    <col min="13" max="13" width="8.73046875" bestFit="1" customWidth="1"/>
    <col min="14" max="14" width="22.3984375" bestFit="1" customWidth="1"/>
    <col min="15" max="15" width="5.86328125" bestFit="1" customWidth="1"/>
    <col min="16" max="16" width="6.86328125" bestFit="1" customWidth="1"/>
    <col min="17" max="17" width="6.6640625" bestFit="1" customWidth="1"/>
    <col min="18" max="18" width="8.1328125" bestFit="1" customWidth="1"/>
    <col min="19" max="19" width="9.3984375" bestFit="1" customWidth="1"/>
    <col min="20" max="20" width="2.59765625" customWidth="1"/>
    <col min="21" max="21" width="8.9296875" bestFit="1" customWidth="1"/>
    <col min="22" max="22" width="14.265625" bestFit="1" customWidth="1"/>
  </cols>
  <sheetData>
    <row r="1" spans="1:22" x14ac:dyDescent="0.45">
      <c r="A1" s="2" t="s">
        <v>20</v>
      </c>
      <c r="B1" s="2"/>
    </row>
    <row r="3" spans="1:22" x14ac:dyDescent="0.45">
      <c r="D3" t="s">
        <v>21</v>
      </c>
      <c r="U3" t="s">
        <v>22</v>
      </c>
    </row>
    <row r="4" spans="1:22" x14ac:dyDescent="0.45">
      <c r="D4" s="12">
        <v>43125.555810185186</v>
      </c>
      <c r="E4" s="12"/>
      <c r="F4" s="12"/>
      <c r="U4" s="12">
        <v>43125.762337962966</v>
      </c>
      <c r="V4" s="13"/>
    </row>
    <row r="5" spans="1:22" x14ac:dyDescent="0.45">
      <c r="A5" t="s">
        <v>19</v>
      </c>
      <c r="B5" t="s">
        <v>18</v>
      </c>
      <c r="D5" t="s">
        <v>17</v>
      </c>
      <c r="E5" t="s">
        <v>16</v>
      </c>
      <c r="F5" t="s">
        <v>15</v>
      </c>
      <c r="G5" t="s">
        <v>14</v>
      </c>
      <c r="H5" t="s">
        <v>13</v>
      </c>
      <c r="I5" t="s">
        <v>12</v>
      </c>
      <c r="J5" t="s">
        <v>11</v>
      </c>
      <c r="K5" t="s">
        <v>10</v>
      </c>
      <c r="L5" t="s">
        <v>9</v>
      </c>
      <c r="M5" t="s">
        <v>8</v>
      </c>
      <c r="N5" t="s">
        <v>7</v>
      </c>
      <c r="O5" t="s">
        <v>6</v>
      </c>
      <c r="P5" t="s">
        <v>5</v>
      </c>
      <c r="Q5" t="s">
        <v>4</v>
      </c>
      <c r="R5" t="s">
        <v>3</v>
      </c>
      <c r="S5" t="s">
        <v>2</v>
      </c>
      <c r="U5" t="s">
        <v>1</v>
      </c>
      <c r="V5" t="s">
        <v>0</v>
      </c>
    </row>
    <row r="6" spans="1:22" x14ac:dyDescent="0.45">
      <c r="A6" s="3" t="s">
        <v>61</v>
      </c>
      <c r="B6" t="s">
        <v>39</v>
      </c>
      <c r="D6" s="3" t="s">
        <v>23</v>
      </c>
      <c r="E6">
        <v>141</v>
      </c>
      <c r="F6">
        <v>6</v>
      </c>
      <c r="G6">
        <v>65</v>
      </c>
      <c r="H6">
        <v>34759</v>
      </c>
      <c r="J6">
        <v>1001</v>
      </c>
      <c r="K6" t="s">
        <v>24</v>
      </c>
      <c r="L6" t="s">
        <v>25</v>
      </c>
      <c r="M6">
        <v>12345678</v>
      </c>
      <c r="N6" t="s">
        <v>26</v>
      </c>
      <c r="O6">
        <v>213</v>
      </c>
      <c r="P6" t="s">
        <v>27</v>
      </c>
      <c r="Q6" t="s">
        <v>28</v>
      </c>
      <c r="R6" t="s">
        <v>29</v>
      </c>
      <c r="S6">
        <v>49</v>
      </c>
      <c r="U6" t="s">
        <v>30</v>
      </c>
    </row>
    <row r="7" spans="1:22" x14ac:dyDescent="0.45">
      <c r="B7" t="s">
        <v>52</v>
      </c>
      <c r="D7" s="3" t="s">
        <v>31</v>
      </c>
      <c r="E7">
        <v>154</v>
      </c>
      <c r="F7">
        <v>6</v>
      </c>
      <c r="G7">
        <v>92</v>
      </c>
      <c r="H7" s="1">
        <v>47565</v>
      </c>
      <c r="J7">
        <v>1001</v>
      </c>
      <c r="K7" t="s">
        <v>55</v>
      </c>
      <c r="L7" t="s">
        <v>25</v>
      </c>
      <c r="M7">
        <v>12345678</v>
      </c>
      <c r="N7" t="s">
        <v>56</v>
      </c>
      <c r="O7">
        <v>226</v>
      </c>
      <c r="P7" t="s">
        <v>34</v>
      </c>
      <c r="Q7" t="s">
        <v>28</v>
      </c>
      <c r="R7" t="s">
        <v>35</v>
      </c>
      <c r="S7">
        <v>49</v>
      </c>
      <c r="U7" t="s">
        <v>30</v>
      </c>
    </row>
    <row r="8" spans="1:22" x14ac:dyDescent="0.45">
      <c r="B8" t="s">
        <v>53</v>
      </c>
      <c r="D8" s="3" t="s">
        <v>31</v>
      </c>
      <c r="E8">
        <v>154</v>
      </c>
      <c r="F8">
        <v>6</v>
      </c>
      <c r="G8">
        <v>98</v>
      </c>
      <c r="H8" s="1">
        <v>49475</v>
      </c>
      <c r="J8">
        <v>1001</v>
      </c>
      <c r="K8" t="s">
        <v>55</v>
      </c>
      <c r="L8" t="s">
        <v>25</v>
      </c>
      <c r="M8">
        <v>12345678</v>
      </c>
      <c r="N8" t="s">
        <v>56</v>
      </c>
      <c r="O8">
        <v>226</v>
      </c>
      <c r="P8" t="s">
        <v>34</v>
      </c>
      <c r="Q8" t="s">
        <v>28</v>
      </c>
      <c r="R8" t="s">
        <v>35</v>
      </c>
      <c r="S8">
        <v>49</v>
      </c>
      <c r="U8" t="s">
        <v>30</v>
      </c>
    </row>
    <row r="9" spans="1:22" x14ac:dyDescent="0.45">
      <c r="B9" t="s">
        <v>54</v>
      </c>
      <c r="D9" s="3" t="s">
        <v>31</v>
      </c>
      <c r="E9">
        <v>154</v>
      </c>
      <c r="F9">
        <v>6</v>
      </c>
      <c r="G9">
        <v>98</v>
      </c>
      <c r="H9" s="1">
        <v>49877</v>
      </c>
      <c r="J9">
        <v>1000</v>
      </c>
      <c r="K9" t="s">
        <v>55</v>
      </c>
      <c r="L9" t="s">
        <v>25</v>
      </c>
      <c r="M9">
        <v>12345678</v>
      </c>
      <c r="N9" t="s">
        <v>56</v>
      </c>
      <c r="O9">
        <v>226</v>
      </c>
      <c r="P9" t="s">
        <v>34</v>
      </c>
      <c r="Q9" t="s">
        <v>28</v>
      </c>
      <c r="R9" t="s">
        <v>35</v>
      </c>
      <c r="S9">
        <v>49</v>
      </c>
      <c r="U9" t="s">
        <v>30</v>
      </c>
    </row>
    <row r="10" spans="1:22" x14ac:dyDescent="0.45">
      <c r="B10" t="s">
        <v>36</v>
      </c>
      <c r="D10" s="3" t="s">
        <v>31</v>
      </c>
      <c r="E10">
        <v>113</v>
      </c>
      <c r="F10">
        <v>6</v>
      </c>
      <c r="G10">
        <v>93</v>
      </c>
      <c r="H10" s="1">
        <v>47565</v>
      </c>
      <c r="J10">
        <v>1001</v>
      </c>
      <c r="K10" s="6" t="s">
        <v>32</v>
      </c>
      <c r="L10" t="s">
        <v>25</v>
      </c>
      <c r="M10">
        <v>12345678</v>
      </c>
      <c r="N10" t="s">
        <v>33</v>
      </c>
      <c r="O10">
        <v>185</v>
      </c>
      <c r="P10" t="s">
        <v>34</v>
      </c>
      <c r="Q10" t="s">
        <v>28</v>
      </c>
      <c r="R10" t="s">
        <v>35</v>
      </c>
      <c r="S10">
        <v>49</v>
      </c>
      <c r="U10" t="s">
        <v>30</v>
      </c>
    </row>
    <row r="11" spans="1:22" x14ac:dyDescent="0.45">
      <c r="B11" t="s">
        <v>38</v>
      </c>
      <c r="D11" s="3" t="s">
        <v>31</v>
      </c>
      <c r="E11">
        <v>113</v>
      </c>
      <c r="F11">
        <v>6</v>
      </c>
      <c r="G11">
        <v>98</v>
      </c>
      <c r="H11" s="1">
        <v>49494</v>
      </c>
      <c r="J11">
        <v>1001</v>
      </c>
      <c r="K11" s="5" t="s">
        <v>32</v>
      </c>
      <c r="L11" t="s">
        <v>25</v>
      </c>
      <c r="M11">
        <v>12345678</v>
      </c>
      <c r="N11" t="s">
        <v>33</v>
      </c>
      <c r="O11">
        <v>185</v>
      </c>
      <c r="P11" t="s">
        <v>34</v>
      </c>
      <c r="Q11" t="s">
        <v>28</v>
      </c>
      <c r="R11" t="s">
        <v>35</v>
      </c>
      <c r="S11">
        <v>49</v>
      </c>
      <c r="U11" t="s">
        <v>30</v>
      </c>
      <c r="V11" s="11"/>
    </row>
    <row r="12" spans="1:22" x14ac:dyDescent="0.45">
      <c r="B12" t="s">
        <v>37</v>
      </c>
      <c r="D12" s="3" t="s">
        <v>31</v>
      </c>
      <c r="E12">
        <v>113</v>
      </c>
      <c r="F12">
        <v>6</v>
      </c>
      <c r="G12">
        <v>98</v>
      </c>
      <c r="H12" s="1">
        <v>49876</v>
      </c>
      <c r="J12">
        <v>1000</v>
      </c>
      <c r="K12" s="6" t="s">
        <v>32</v>
      </c>
      <c r="L12" t="s">
        <v>25</v>
      </c>
      <c r="M12">
        <v>12345678</v>
      </c>
      <c r="N12" t="s">
        <v>33</v>
      </c>
      <c r="O12">
        <v>185</v>
      </c>
      <c r="P12" t="s">
        <v>34</v>
      </c>
      <c r="Q12" t="s">
        <v>28</v>
      </c>
      <c r="R12" t="s">
        <v>35</v>
      </c>
      <c r="S12">
        <v>49</v>
      </c>
      <c r="U12" t="s">
        <v>30</v>
      </c>
      <c r="V12" s="11"/>
    </row>
    <row r="13" spans="1:22" x14ac:dyDescent="0.45">
      <c r="A13" s="3"/>
      <c r="B13" t="s">
        <v>59</v>
      </c>
      <c r="D13" s="4" t="s">
        <v>31</v>
      </c>
      <c r="E13">
        <v>84</v>
      </c>
      <c r="F13">
        <v>6</v>
      </c>
      <c r="G13">
        <v>83</v>
      </c>
      <c r="H13">
        <v>43740</v>
      </c>
      <c r="J13">
        <v>1001</v>
      </c>
      <c r="K13" t="s">
        <v>57</v>
      </c>
      <c r="L13" t="s">
        <v>25</v>
      </c>
      <c r="M13">
        <v>12345678</v>
      </c>
      <c r="N13" t="s">
        <v>58</v>
      </c>
      <c r="O13">
        <v>156</v>
      </c>
      <c r="P13" t="s">
        <v>34</v>
      </c>
      <c r="Q13" t="s">
        <v>28</v>
      </c>
      <c r="R13" t="s">
        <v>35</v>
      </c>
      <c r="S13">
        <v>49</v>
      </c>
      <c r="U13" t="s">
        <v>30</v>
      </c>
      <c r="V13" s="11"/>
    </row>
    <row r="14" spans="1:22" x14ac:dyDescent="0.45">
      <c r="A14" s="3"/>
      <c r="B14" t="s">
        <v>60</v>
      </c>
      <c r="D14" s="3" t="s">
        <v>31</v>
      </c>
      <c r="E14">
        <v>84</v>
      </c>
      <c r="F14" s="3">
        <v>6</v>
      </c>
      <c r="G14" s="3">
        <v>83</v>
      </c>
      <c r="H14" s="3">
        <v>47873</v>
      </c>
      <c r="I14" s="3"/>
      <c r="J14" s="3">
        <v>1001</v>
      </c>
      <c r="K14" t="s">
        <v>57</v>
      </c>
      <c r="L14" t="s">
        <v>25</v>
      </c>
      <c r="M14">
        <v>12345678</v>
      </c>
      <c r="N14" t="s">
        <v>58</v>
      </c>
      <c r="O14">
        <v>156</v>
      </c>
      <c r="P14" t="s">
        <v>34</v>
      </c>
      <c r="Q14" t="s">
        <v>28</v>
      </c>
      <c r="R14" t="s">
        <v>35</v>
      </c>
      <c r="S14">
        <v>49</v>
      </c>
      <c r="U14" t="s">
        <v>30</v>
      </c>
      <c r="V14" s="3"/>
    </row>
    <row r="15" spans="1:22" x14ac:dyDescent="0.45">
      <c r="D15" s="3"/>
      <c r="F15" s="3"/>
      <c r="G15" s="3"/>
      <c r="H15" s="3"/>
      <c r="I15" s="3"/>
      <c r="J15" s="3"/>
      <c r="V15" s="11"/>
    </row>
    <row r="16" spans="1:22" x14ac:dyDescent="0.45">
      <c r="A16" s="3"/>
      <c r="V16" s="11" t="str">
        <f>LEFT(RIGHT(Update_Tab[[#This Row],[Update]],17),11)</f>
        <v/>
      </c>
    </row>
    <row r="19" spans="1:22" x14ac:dyDescent="0.45">
      <c r="B19" t="s">
        <v>18</v>
      </c>
      <c r="D19" t="s">
        <v>6</v>
      </c>
      <c r="E19" t="s">
        <v>40</v>
      </c>
      <c r="F19" t="s">
        <v>5</v>
      </c>
      <c r="G19" t="s">
        <v>4</v>
      </c>
      <c r="H19" t="s">
        <v>2</v>
      </c>
      <c r="I19" t="s">
        <v>41</v>
      </c>
      <c r="U19" t="s">
        <v>1</v>
      </c>
      <c r="V19" t="s">
        <v>0</v>
      </c>
    </row>
    <row r="20" spans="1:22" x14ac:dyDescent="0.45">
      <c r="A20" s="3"/>
      <c r="B20" t="s">
        <v>96</v>
      </c>
      <c r="D20" s="7" t="s">
        <v>72</v>
      </c>
      <c r="E20" s="8" t="s">
        <v>99</v>
      </c>
      <c r="F20" t="s">
        <v>34</v>
      </c>
      <c r="G20" t="s">
        <v>28</v>
      </c>
      <c r="H20" s="9" t="s">
        <v>44</v>
      </c>
      <c r="I20" t="s">
        <v>45</v>
      </c>
      <c r="U20" t="s">
        <v>30</v>
      </c>
      <c r="V20" s="10" t="s">
        <v>91</v>
      </c>
    </row>
    <row r="21" spans="1:22" x14ac:dyDescent="0.45">
      <c r="B21" t="s">
        <v>97</v>
      </c>
      <c r="D21" s="7" t="s">
        <v>73</v>
      </c>
      <c r="E21" s="8" t="s">
        <v>98</v>
      </c>
      <c r="F21" t="s">
        <v>34</v>
      </c>
      <c r="G21" t="s">
        <v>28</v>
      </c>
      <c r="H21" s="9" t="s">
        <v>44</v>
      </c>
      <c r="I21" t="s">
        <v>45</v>
      </c>
      <c r="U21" t="s">
        <v>30</v>
      </c>
      <c r="V21" s="10" t="s">
        <v>91</v>
      </c>
    </row>
    <row r="22" spans="1:22" x14ac:dyDescent="0.45">
      <c r="B22" t="s">
        <v>62</v>
      </c>
      <c r="D22" s="7" t="s">
        <v>74</v>
      </c>
      <c r="E22" s="7" t="s">
        <v>92</v>
      </c>
      <c r="F22" t="s">
        <v>34</v>
      </c>
      <c r="G22" t="s">
        <v>28</v>
      </c>
      <c r="H22" s="9" t="s">
        <v>44</v>
      </c>
      <c r="I22" t="s">
        <v>90</v>
      </c>
      <c r="U22" t="s">
        <v>30</v>
      </c>
      <c r="V22" s="10" t="s">
        <v>91</v>
      </c>
    </row>
    <row r="23" spans="1:22" x14ac:dyDescent="0.45">
      <c r="B23" t="s">
        <v>63</v>
      </c>
      <c r="D23" s="7" t="s">
        <v>74</v>
      </c>
      <c r="E23" s="8" t="s">
        <v>46</v>
      </c>
      <c r="F23" t="s">
        <v>34</v>
      </c>
      <c r="G23" t="s">
        <v>28</v>
      </c>
      <c r="H23" s="9" t="s">
        <v>44</v>
      </c>
      <c r="I23" t="s">
        <v>45</v>
      </c>
      <c r="U23" t="s">
        <v>30</v>
      </c>
      <c r="V23" s="10" t="s">
        <v>91</v>
      </c>
    </row>
    <row r="24" spans="1:22" x14ac:dyDescent="0.45">
      <c r="B24" t="s">
        <v>64</v>
      </c>
      <c r="D24" s="7" t="s">
        <v>51</v>
      </c>
      <c r="E24" s="8" t="s">
        <v>47</v>
      </c>
      <c r="F24" t="s">
        <v>34</v>
      </c>
      <c r="G24" t="s">
        <v>28</v>
      </c>
      <c r="H24" s="9" t="s">
        <v>44</v>
      </c>
      <c r="I24" t="s">
        <v>90</v>
      </c>
      <c r="U24" t="s">
        <v>30</v>
      </c>
      <c r="V24" s="10" t="s">
        <v>91</v>
      </c>
    </row>
    <row r="25" spans="1:22" x14ac:dyDescent="0.45">
      <c r="B25" t="s">
        <v>65</v>
      </c>
      <c r="D25" s="7" t="s">
        <v>51</v>
      </c>
      <c r="E25" s="8" t="s">
        <v>47</v>
      </c>
      <c r="F25" t="s">
        <v>34</v>
      </c>
      <c r="G25" t="s">
        <v>28</v>
      </c>
      <c r="H25" s="9" t="s">
        <v>44</v>
      </c>
      <c r="I25" t="s">
        <v>45</v>
      </c>
      <c r="U25" t="s">
        <v>30</v>
      </c>
      <c r="V25" s="10" t="s">
        <v>91</v>
      </c>
    </row>
    <row r="26" spans="1:22" x14ac:dyDescent="0.45">
      <c r="B26" t="s">
        <v>66</v>
      </c>
      <c r="D26" s="7" t="s">
        <v>75</v>
      </c>
      <c r="E26" s="8" t="s">
        <v>92</v>
      </c>
      <c r="F26" t="s">
        <v>34</v>
      </c>
      <c r="G26" t="s">
        <v>28</v>
      </c>
      <c r="H26" s="9" t="s">
        <v>44</v>
      </c>
      <c r="I26" t="s">
        <v>90</v>
      </c>
      <c r="U26" t="s">
        <v>30</v>
      </c>
      <c r="V26" s="10" t="s">
        <v>91</v>
      </c>
    </row>
    <row r="27" spans="1:22" x14ac:dyDescent="0.45">
      <c r="B27" t="s">
        <v>67</v>
      </c>
      <c r="D27" s="7" t="s">
        <v>75</v>
      </c>
      <c r="E27" s="8" t="s">
        <v>46</v>
      </c>
      <c r="F27" t="s">
        <v>34</v>
      </c>
      <c r="G27" t="s">
        <v>28</v>
      </c>
      <c r="H27" s="9" t="s">
        <v>44</v>
      </c>
      <c r="I27" t="s">
        <v>45</v>
      </c>
      <c r="U27" t="s">
        <v>30</v>
      </c>
      <c r="V27" s="10" t="s">
        <v>91</v>
      </c>
    </row>
    <row r="28" spans="1:22" x14ac:dyDescent="0.45">
      <c r="B28" t="s">
        <v>70</v>
      </c>
      <c r="D28" s="7" t="s">
        <v>76</v>
      </c>
      <c r="E28" s="8" t="s">
        <v>43</v>
      </c>
      <c r="F28" t="s">
        <v>34</v>
      </c>
      <c r="G28" t="s">
        <v>28</v>
      </c>
      <c r="H28" s="9" t="s">
        <v>44</v>
      </c>
      <c r="I28" t="s">
        <v>90</v>
      </c>
      <c r="U28" t="s">
        <v>30</v>
      </c>
      <c r="V28" s="10" t="s">
        <v>91</v>
      </c>
    </row>
    <row r="29" spans="1:22" x14ac:dyDescent="0.45">
      <c r="B29" t="s">
        <v>71</v>
      </c>
      <c r="D29" s="7" t="s">
        <v>76</v>
      </c>
      <c r="E29" s="8" t="s">
        <v>43</v>
      </c>
      <c r="F29" t="s">
        <v>34</v>
      </c>
      <c r="G29" t="s">
        <v>28</v>
      </c>
      <c r="H29" s="9" t="s">
        <v>44</v>
      </c>
      <c r="I29" t="s">
        <v>45</v>
      </c>
      <c r="U29" t="s">
        <v>30</v>
      </c>
      <c r="V29" s="10" t="s">
        <v>91</v>
      </c>
    </row>
    <row r="30" spans="1:22" x14ac:dyDescent="0.45">
      <c r="B30" t="s">
        <v>77</v>
      </c>
      <c r="D30" s="7" t="s">
        <v>79</v>
      </c>
      <c r="E30" s="8" t="s">
        <v>93</v>
      </c>
      <c r="F30" t="s">
        <v>34</v>
      </c>
      <c r="G30" t="s">
        <v>28</v>
      </c>
      <c r="H30" s="9" t="s">
        <v>44</v>
      </c>
      <c r="I30" t="s">
        <v>90</v>
      </c>
      <c r="U30" t="s">
        <v>30</v>
      </c>
      <c r="V30" s="10" t="s">
        <v>91</v>
      </c>
    </row>
    <row r="31" spans="1:22" x14ac:dyDescent="0.45">
      <c r="B31" t="s">
        <v>78</v>
      </c>
      <c r="D31" s="7" t="s">
        <v>79</v>
      </c>
      <c r="E31" s="8" t="s">
        <v>93</v>
      </c>
      <c r="F31" t="s">
        <v>34</v>
      </c>
      <c r="G31" t="s">
        <v>28</v>
      </c>
      <c r="H31" s="9" t="s">
        <v>44</v>
      </c>
      <c r="I31" t="s">
        <v>45</v>
      </c>
      <c r="U31" t="s">
        <v>30</v>
      </c>
      <c r="V31" s="10" t="s">
        <v>91</v>
      </c>
    </row>
    <row r="32" spans="1:22" x14ac:dyDescent="0.45">
      <c r="B32" t="s">
        <v>80</v>
      </c>
      <c r="D32" s="7" t="s">
        <v>42</v>
      </c>
      <c r="E32" s="8" t="s">
        <v>48</v>
      </c>
      <c r="F32" t="s">
        <v>34</v>
      </c>
      <c r="G32" t="s">
        <v>28</v>
      </c>
      <c r="H32" s="9" t="s">
        <v>44</v>
      </c>
      <c r="I32" t="s">
        <v>90</v>
      </c>
      <c r="U32" t="s">
        <v>30</v>
      </c>
      <c r="V32" s="10" t="s">
        <v>91</v>
      </c>
    </row>
    <row r="33" spans="2:22" x14ac:dyDescent="0.45">
      <c r="B33" t="s">
        <v>81</v>
      </c>
      <c r="D33" s="7" t="s">
        <v>42</v>
      </c>
      <c r="E33" s="8" t="s">
        <v>48</v>
      </c>
      <c r="F33" t="s">
        <v>34</v>
      </c>
      <c r="G33" t="s">
        <v>28</v>
      </c>
      <c r="H33" s="9" t="s">
        <v>44</v>
      </c>
      <c r="I33" t="s">
        <v>45</v>
      </c>
      <c r="U33" t="s">
        <v>30</v>
      </c>
      <c r="V33" s="10" t="s">
        <v>91</v>
      </c>
    </row>
    <row r="34" spans="2:22" x14ac:dyDescent="0.45">
      <c r="B34" t="s">
        <v>82</v>
      </c>
      <c r="D34" s="7" t="s">
        <v>86</v>
      </c>
      <c r="E34" s="8" t="s">
        <v>94</v>
      </c>
      <c r="F34" t="s">
        <v>34</v>
      </c>
      <c r="G34" t="s">
        <v>28</v>
      </c>
      <c r="H34" s="9" t="s">
        <v>44</v>
      </c>
      <c r="I34" t="s">
        <v>90</v>
      </c>
      <c r="U34" t="s">
        <v>30</v>
      </c>
      <c r="V34" s="10" t="s">
        <v>91</v>
      </c>
    </row>
    <row r="35" spans="2:22" x14ac:dyDescent="0.45">
      <c r="B35" t="s">
        <v>83</v>
      </c>
      <c r="D35" s="7" t="s">
        <v>86</v>
      </c>
      <c r="E35" s="8" t="s">
        <v>94</v>
      </c>
      <c r="F35" t="s">
        <v>34</v>
      </c>
      <c r="G35" t="s">
        <v>28</v>
      </c>
      <c r="H35" s="9" t="s">
        <v>44</v>
      </c>
      <c r="I35" t="s">
        <v>45</v>
      </c>
      <c r="U35" t="s">
        <v>30</v>
      </c>
      <c r="V35" s="10" t="s">
        <v>91</v>
      </c>
    </row>
    <row r="36" spans="2:22" x14ac:dyDescent="0.45">
      <c r="B36" t="s">
        <v>84</v>
      </c>
      <c r="D36" s="7" t="s">
        <v>87</v>
      </c>
      <c r="E36" s="8" t="s">
        <v>95</v>
      </c>
      <c r="F36" t="s">
        <v>34</v>
      </c>
      <c r="G36" t="s">
        <v>28</v>
      </c>
      <c r="H36" s="9" t="s">
        <v>44</v>
      </c>
      <c r="I36" t="s">
        <v>90</v>
      </c>
      <c r="U36" t="s">
        <v>30</v>
      </c>
      <c r="V36" s="10" t="s">
        <v>91</v>
      </c>
    </row>
    <row r="37" spans="2:22" x14ac:dyDescent="0.45">
      <c r="B37" t="s">
        <v>85</v>
      </c>
      <c r="D37" s="7" t="s">
        <v>87</v>
      </c>
      <c r="E37" s="8" t="s">
        <v>95</v>
      </c>
      <c r="F37" t="s">
        <v>34</v>
      </c>
      <c r="G37" t="s">
        <v>28</v>
      </c>
      <c r="H37" s="9" t="s">
        <v>44</v>
      </c>
      <c r="I37" t="s">
        <v>45</v>
      </c>
      <c r="U37" t="s">
        <v>30</v>
      </c>
      <c r="V37" s="10" t="s">
        <v>91</v>
      </c>
    </row>
    <row r="38" spans="2:22" x14ac:dyDescent="0.45">
      <c r="B38" t="s">
        <v>68</v>
      </c>
      <c r="D38" s="7" t="s">
        <v>88</v>
      </c>
      <c r="E38" s="8" t="s">
        <v>92</v>
      </c>
      <c r="F38" t="s">
        <v>34</v>
      </c>
      <c r="G38" t="s">
        <v>28</v>
      </c>
      <c r="H38" s="9" t="s">
        <v>44</v>
      </c>
      <c r="I38" t="s">
        <v>90</v>
      </c>
      <c r="U38" t="s">
        <v>30</v>
      </c>
      <c r="V38" s="10" t="s">
        <v>91</v>
      </c>
    </row>
    <row r="39" spans="2:22" x14ac:dyDescent="0.45">
      <c r="B39" t="s">
        <v>69</v>
      </c>
      <c r="D39" s="7" t="s">
        <v>88</v>
      </c>
      <c r="E39" s="8" t="s">
        <v>46</v>
      </c>
      <c r="F39" t="s">
        <v>34</v>
      </c>
      <c r="G39" t="s">
        <v>28</v>
      </c>
      <c r="H39" s="9" t="s">
        <v>44</v>
      </c>
      <c r="I39" t="s">
        <v>45</v>
      </c>
      <c r="U39" t="s">
        <v>30</v>
      </c>
      <c r="V39" s="10" t="s">
        <v>91</v>
      </c>
    </row>
    <row r="40" spans="2:22" x14ac:dyDescent="0.45">
      <c r="B40" t="s">
        <v>49</v>
      </c>
      <c r="D40" s="7" t="s">
        <v>89</v>
      </c>
      <c r="E40" s="8" t="s">
        <v>92</v>
      </c>
      <c r="F40" t="s">
        <v>34</v>
      </c>
      <c r="G40" t="s">
        <v>28</v>
      </c>
      <c r="H40" s="9" t="s">
        <v>44</v>
      </c>
      <c r="I40" t="s">
        <v>90</v>
      </c>
      <c r="U40" t="s">
        <v>30</v>
      </c>
      <c r="V40" s="10" t="s">
        <v>91</v>
      </c>
    </row>
    <row r="41" spans="2:22" x14ac:dyDescent="0.45">
      <c r="B41" t="s">
        <v>50</v>
      </c>
      <c r="D41" s="7" t="s">
        <v>89</v>
      </c>
      <c r="E41" s="8" t="s">
        <v>46</v>
      </c>
      <c r="F41" t="s">
        <v>34</v>
      </c>
      <c r="G41" t="s">
        <v>28</v>
      </c>
      <c r="H41" s="9" t="s">
        <v>44</v>
      </c>
      <c r="I41" t="s">
        <v>45</v>
      </c>
      <c r="U41" t="s">
        <v>30</v>
      </c>
      <c r="V41" s="10" t="s">
        <v>91</v>
      </c>
    </row>
    <row r="42" spans="2:22" x14ac:dyDescent="0.45">
      <c r="H42" s="1"/>
      <c r="V42" s="10" t="str">
        <f>LEFT(RIGHT(Update_Tab2[[#This Row],[Update]],17),11)</f>
        <v/>
      </c>
    </row>
    <row r="43" spans="2:22" x14ac:dyDescent="0.45">
      <c r="H43" s="1"/>
      <c r="V43" s="10" t="str">
        <f>LEFT(RIGHT(Update_Tab2[[#This Row],[Update]],17),11)</f>
        <v/>
      </c>
    </row>
  </sheetData>
  <mergeCells count="2">
    <mergeCell ref="D4:F4"/>
    <mergeCell ref="U4:V4"/>
  </mergeCells>
  <dataValidations count="4">
    <dataValidation type="list" allowBlank="1" showInputMessage="1" showErrorMessage="1" promptTitle="Bitte die anzuford. Datei ausw." prompt="jason wird /jason_boxinfo.xml anfordern._x000a_juis wird  /juis_boxinfo.xml anfordern." sqref="D6:D16" xr:uid="{84DD848C-F3F9-45D2-80DF-A1DA8707A35D}">
      <formula1>"jason,juis"</formula1>
    </dataValidation>
    <dataValidation type="list" allowBlank="1" showInputMessage="1" showErrorMessage="1" promptTitle="Bitte den Buildtype auswählen." prompt="1000 = interne Versionen erlauben_x000a_1001 = ausschließlich öffentliche Versionen erlauben" sqref="J6:J16" xr:uid="{0F7C8418-7F91-4078-9A85-61168383D8DE}">
      <formula1>"1000,1001"</formula1>
    </dataValidation>
    <dataValidation allowBlank="1" showInputMessage="1" showErrorMessage="1" promptTitle="Bitte den Buildtype auswählen." prompt="1000 = interne Versionen erlauben_x000a_1001 = ausschließlich öffentliche Versionen erlauben" sqref="J20:J24" xr:uid="{996285DA-2DF2-4A71-A85F-79C4A9E8C4F7}"/>
    <dataValidation allowBlank="1" showInputMessage="1" showErrorMessage="1" promptTitle="Bitte die anzuford. Datei ausw." prompt="jason wird /jason_boxinfo.xml anfordern._x000a_juis wird  /juis_boxinfo.xml anfordern." sqref="D21:D41" xr:uid="{BA97A2A1-2AD7-4E5C-A13A-9BAA1EE3DEAE}"/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UIS_Tab.BtnBoxinfo_Click">
                <anchor moveWithCells="1">
                  <from>
                    <xdr:col>1</xdr:col>
                    <xdr:colOff>723900</xdr:colOff>
                    <xdr:row>0</xdr:row>
                    <xdr:rowOff>61913</xdr:rowOff>
                  </from>
                  <to>
                    <xdr:col>5</xdr:col>
                    <xdr:colOff>319088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JUIS_Tab.BtnFirmware_Click">
                <anchor moveWithCells="1">
                  <from>
                    <xdr:col>16</xdr:col>
                    <xdr:colOff>366713</xdr:colOff>
                    <xdr:row>0</xdr:row>
                    <xdr:rowOff>76200</xdr:rowOff>
                  </from>
                  <to>
                    <xdr:col>20</xdr:col>
                    <xdr:colOff>252413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2</vt:i4>
      </vt:variant>
    </vt:vector>
  </HeadingPairs>
  <TitlesOfParts>
    <vt:vector size="3" baseType="lpstr">
      <vt:lpstr>JUIS</vt:lpstr>
      <vt:lpstr>LastBoxInfo</vt:lpstr>
      <vt:lpstr>LastFirmware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JASON Update Info Service</dc:title>
  <dc:creator>TheChatty</dc:creator>
  <cp:lastModifiedBy>TheChatty</cp:lastModifiedBy>
  <dcterms:created xsi:type="dcterms:W3CDTF">2011-08-25T14:29:57Z</dcterms:created>
  <dcterms:modified xsi:type="dcterms:W3CDTF">2018-01-25T17:19:58Z</dcterms:modified>
</cp:coreProperties>
</file>